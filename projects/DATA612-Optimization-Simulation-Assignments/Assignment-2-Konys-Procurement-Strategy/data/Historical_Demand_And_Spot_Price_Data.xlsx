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c-my.sharepoint.com/personal/osman_alp_ucalgary_ca/Documents/Documents/Courses/DATA612/Assignments/Assignment2/"/>
    </mc:Choice>
  </mc:AlternateContent>
  <xr:revisionPtr revIDLastSave="160" documentId="8_{6DC69A8D-601E-44B1-902D-47FB13493D31}" xr6:coauthVersionLast="47" xr6:coauthVersionMax="47" xr10:uidLastSave="{D14F56CF-8571-49E8-BB0C-2C34CA34C590}"/>
  <bookViews>
    <workbookView xWindow="28680" yWindow="-5205" windowWidth="15990" windowHeight="24840" firstSheet="2" activeTab="2" xr2:uid="{8548CA18-B224-4957-93DD-663E33207CD9}"/>
  </bookViews>
  <sheets>
    <sheet name="_@RISKFitInformation" sheetId="7" state="hidden" r:id="rId1"/>
    <sheet name="RiskSerializationData8" sheetId="9" state="hidden" r:id="rId2"/>
    <sheet name="Past Demand Data" sheetId="1" r:id="rId3"/>
    <sheet name="Past Spot Price Data" sheetId="2" r:id="rId4"/>
  </sheets>
  <definedNames>
    <definedName name="_AtRisk_FitDataRange_FIT_146B9_3BBD" hidden="1">'Past Demand Data'!$B$4:$B$22</definedName>
    <definedName name="_AtRisk_FitDataRange_FIT_2B19C_48248" hidden="1">'Past Demand Data'!$D$4:$D$22</definedName>
    <definedName name="_AtRisk_FitDataRange_FIT_36137_38C8F" hidden="1">#REF!</definedName>
    <definedName name="_AtRisk_FitDataRange_FIT_36DA3_53371" hidden="1">'Past Demand Data'!#REF!</definedName>
    <definedName name="_AtRisk_FitDataRange_FIT_3DD3A_B322" hidden="1">'Past Demand Data'!$B$4:$B$22</definedName>
    <definedName name="_AtRisk_FitDataRange_FIT_4441D_2099" hidden="1">'Past Demand Data'!$C$4:$C$22</definedName>
    <definedName name="_AtRisk_FitDataRange_FIT_4D168_A624" hidden="1">'Past Demand Data'!$E$4:$E$21</definedName>
    <definedName name="_AtRisk_FitDataRange_FIT_57F2E_4F75" hidden="1">'Past Demand Data'!$D$4:$D$22</definedName>
    <definedName name="_AtRisk_FitDataRange_FIT_66229_E11D" hidden="1">'Past Demand Data'!$C$4:$C$22</definedName>
    <definedName name="_AtRisk_FitDataRange_FIT_68E27_EF566" hidden="1">'Past Demand Data'!$B$4:$B$22</definedName>
    <definedName name="_AtRisk_FitDataRange_FIT_72CB2_7E449" hidden="1">'Past Demand Data'!#REF!</definedName>
    <definedName name="_AtRisk_FitDataRange_FIT_747BA_7A181" hidden="1">'Past Demand Data'!$E$4:$E$21</definedName>
    <definedName name="_AtRisk_FitDataRange_FIT_7F065_AFA8A" hidden="1">'Past Spot Price Data'!#REF!</definedName>
    <definedName name="_AtRisk_FitDataRange_FIT_9B31_3576E" hidden="1">'Past Demand Data'!$B$4:$B$22</definedName>
    <definedName name="_AtRisk_FitDataRange_FIT_9DFF_770A3" hidden="1">'Past Spot Price Data'!$B$2:$B$76</definedName>
    <definedName name="_AtRisk_FitDataRange_FIT_A2CC_4C7DC" hidden="1">#REF!</definedName>
    <definedName name="_AtRisk_FitDataRange_FIT_A966F_E8D4" hidden="1">'Past Spot Price Data'!#REF!</definedName>
    <definedName name="_AtRisk_FitDataRange_FIT_ABAC3_78A95" hidden="1">'Past Spot Price Data'!#REF!</definedName>
    <definedName name="_AtRisk_FitDataRange_FIT_B53F2_E9E71" hidden="1">'Past Demand Data'!$B$4:$B$22</definedName>
    <definedName name="_AtRisk_FitDataRange_FIT_B5ACD_77622" hidden="1">'Past Demand Data'!$C$4:$C$22</definedName>
    <definedName name="_AtRisk_FitDataRange_FIT_BFC0_B7CD" hidden="1">'Past Demand Data'!$C$4:$C$22</definedName>
    <definedName name="_AtRisk_FitDataRange_FIT_CBC10_423EB" hidden="1">'Past Demand Data'!$C$4:$C$22</definedName>
    <definedName name="_AtRisk_FitDataRange_FIT_DD98F_B6B10" hidden="1">'Past Spot Price Data'!#REF!</definedName>
    <definedName name="_AtRisk_FitDataRange_FIT_F1E36_2C23E" hidden="1">'Past Spot Price Data'!$B$2:$B$76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DistributionRecords" localSheetId="1">RiskSerializationData8!$6:$6</definedName>
    <definedName name="jjj" hidden="1">#REF!</definedName>
    <definedName name="lll" hidden="1">'Past Demand Data'!#REF!</definedName>
    <definedName name="Pal_Workbook_GUID" hidden="1">"GCR1AWPZPHJ4AN7B8FKQC6WT"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19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imulationResultsStorageLocation" hidden="1">"2"</definedName>
    <definedName name="RiskStandardRecalc" hidden="1">1</definedName>
    <definedName name="RiskSwapState" hidden="1">TRUE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erializationHeader" localSheetId="1">RiskSerializationData8!$A$1:$B$3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C12" i="7"/>
  <c r="C13" i="7"/>
</calcChain>
</file>

<file path=xl/sharedStrings.xml><?xml version="1.0" encoding="utf-8"?>
<sst xmlns="http://schemas.openxmlformats.org/spreadsheetml/2006/main" count="132" uniqueCount="121">
  <si>
    <t>Quarterly demand for version of the MC cellphone</t>
  </si>
  <si>
    <t>Version</t>
  </si>
  <si>
    <t>Q3</t>
  </si>
  <si>
    <t>Q4</t>
  </si>
  <si>
    <t>Q1</t>
  </si>
  <si>
    <t>Q2</t>
  </si>
  <si>
    <t>Historical unit price of the LCD module in the spot market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</si>
  <si>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</si>
  <si>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</si>
  <si>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</si>
  <si>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</si>
  <si>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</si>
  <si>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</si>
  <si>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</si>
  <si>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</si>
  <si>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</si>
  <si>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</si>
  <si>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</si>
  <si>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</si>
  <si>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</si>
  <si>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</si>
  <si>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</si>
  <si>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</si>
  <si>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</si>
  <si>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</si>
  <si>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</si>
  <si>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</si>
  <si>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</si>
  <si>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</si>
  <si>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</si>
  <si>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</si>
  <si>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</si>
  <si>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</si>
  <si>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</si>
  <si>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</si>
  <si>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</si>
  <si>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</si>
  <si>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</si>
  <si>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</si>
  <si>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</si>
  <si>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</si>
  <si>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</si>
  <si>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</si>
  <si>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</si>
  <si>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</si>
  <si>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</si>
  <si>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</si>
  <si>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</si>
  <si>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</si>
  <si>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</si>
  <si>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</si>
  <si>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</si>
  <si>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</si>
  <si>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</si>
  <si>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</si>
  <si>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</si>
  <si>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</si>
  <si>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</si>
  <si>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</si>
  <si>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</si>
  <si>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54</t>
  </si>
  <si>
    <t>Week 55</t>
  </si>
  <si>
    <t>Week 56</t>
  </si>
  <si>
    <t>Week 57</t>
  </si>
  <si>
    <t>Week 58</t>
  </si>
  <si>
    <t>Week 59</t>
  </si>
  <si>
    <t>Week 60</t>
  </si>
  <si>
    <t>Week 61</t>
  </si>
  <si>
    <t>Week 62</t>
  </si>
  <si>
    <t>Week 63</t>
  </si>
  <si>
    <t>Week 64</t>
  </si>
  <si>
    <t>Week 65</t>
  </si>
  <si>
    <t>Week 66</t>
  </si>
  <si>
    <t>Week 67</t>
  </si>
  <si>
    <t>Week 68</t>
  </si>
  <si>
    <t>Week 69</t>
  </si>
  <si>
    <t>Week 70</t>
  </si>
  <si>
    <t>Week 71</t>
  </si>
  <si>
    <t>Week 72</t>
  </si>
  <si>
    <t>Week 73</t>
  </si>
  <si>
    <t>Week 74</t>
  </si>
  <si>
    <t>Week 75</t>
  </si>
  <si>
    <t>Created By Version</t>
  </si>
  <si>
    <t>8.2.2</t>
  </si>
  <si>
    <t>Required Version</t>
  </si>
  <si>
    <t>5.0.0</t>
  </si>
  <si>
    <t>Recommended Version</t>
  </si>
  <si>
    <t>Modified By Version</t>
  </si>
  <si>
    <t>Count</t>
  </si>
  <si>
    <t>GUID</t>
  </si>
  <si>
    <t>Name</t>
  </si>
  <si>
    <t>Range</t>
  </si>
  <si>
    <t>CRC</t>
  </si>
  <si>
    <t>Options</t>
  </si>
  <si>
    <t>Comp. Graph Serialization</t>
  </si>
  <si>
    <t>PP Graph Serialization</t>
  </si>
  <si>
    <t>QQ Graph Serialization</t>
  </si>
  <si>
    <t>Unsued</t>
  </si>
  <si>
    <t>Fixed Params</t>
  </si>
  <si>
    <t>Bootstrap Options</t>
  </si>
  <si>
    <t>BootstrapParamGraphSerialization</t>
  </si>
  <si>
    <t>BatchFit Options</t>
  </si>
  <si>
    <t>BootstrapGOFGraphSerialization</t>
  </si>
  <si>
    <t>FitSelector</t>
  </si>
  <si>
    <t>FIT_CBC10_423EB</t>
  </si>
  <si>
    <t>Dataset 1</t>
  </si>
  <si>
    <t>F1	0	0	-1E+300	1E+300	1	0	0	0	0	1	25	BetaGeneral	Binomial	Expon	ExtValue	Gamma	Geomet	IntUniform	InvGauss	Logistic	LogLogistic	Lognorm	NegBin	Normal	Pareto	Pearson5	Pearson6	Pert	Poisson	Triang	Uniform	Weibull	ExtValueMin	Laplace	Levy	Kumaraswamy	0	1	-1	1	0	1	0	0	0</t>
  </si>
  <si>
    <t>GF1_rK0qDwEAEwCCAQwjACcANQCAAJQAlQCjALEAXAF+AXgBKwD//wAAAAAAAAEEAAAAAAAAAAABHEZpdCBDb21wYXJpc29uIGZvciBEYXRhc2V0IDEBKVJpc2tFeHRWYWx1ZU1pbig0MDU0NDA3LjcyMDgsNzAxNjc1LjU3NDIpAQEQAAIAAQpTdGF0aXN0aWNzAwEBAP8BAQEBAQABAQEABAAAAAEBAQEBAAEBAQAEAAAACtAAAeQAAP4AAA8BABoBACUBADABADsBAEYBAFEBABIABUlucHV0AAAA/wAA/wEBAAIAGAALRXh0VmFsdWVNaW4AAQD/3BQ8AQAAAgAPAAZOb3JtYWwAAk8BAAACAAkAAAADjAEAAAIACQAAAARMAQAAAgAJAAAABTkBAAACAAkAAAAGTgEAAAIACQAAAAcjAQAAAgAJAAAACCkBAAACAAkAAAAJYAEAAAIAZAFuAQEBAwGamZmZmZmpPwAAZmZmZmZm7j8AAAUAAQEBAAEBAQA=</t>
  </si>
  <si>
    <t xml:space="preserve">0	8								</t>
  </si>
  <si>
    <t>F1	FALSE	1000	.95</t>
  </si>
  <si>
    <t>FIT_F1E36_2C23E</t>
  </si>
  <si>
    <t>GF1_rK0qDwEAEwCaAQwjACcANQCiALYAtwDFANMAdAGWAZABKwD//wAAAAAAAAEEAAAAAAAAAAABTUZpdCBDb21wYXJpc29uIGZvciBIaXN0b3JpY2FsIHVuaXQgcHJpY2Ugb2YgdGhlIExDRCBtb2R1bGUgaW4gdGhlIHNwb3QgbWFya2V0ARpSaXNrVW5pZm9ybSgxMi4zNDYsMjcuMTY4KQEBEAACAAEKU3RhdGlzdGljcwMBAQD/AQEBAQEAAQEBAAQAAAABAQEBAQABAQEABAAAAAryAAEGAQAcAQAnAQAyAQA9AQBIAQBTAQBeAQBpAQASAAVJbnB1dAAAAP8AAP8BAQACABQAB1VuaWZvcm0AAQD/3BQ8AQAAAgAJAAAAAk8BAAACAAkAAAADjAEAAAIACQAAAARMAQAAAgAJAAAABTkBAAACAAkAAAAGTgEAAAIACQAAAAcjAQAAAgAJAAAACCkBAAACAAkAAAAJYAEAAAIAfAGGAQEBAwGamZmZmZmpPwAAZmZmZmZm7j8AAAUAAQEBAAEBAQA=</t>
  </si>
  <si>
    <t>FIT_3DD3A_B322</t>
  </si>
  <si>
    <t>GF1_rK0qDwEAEwBMAQwjACcANQBQAGQAZQBzAIEAJgFIAUIBKwD//wAAAAAAAAEEAAAAAAAAAAABFUZpdCBDb21wYXJpc29uIGZvciBRMwEAAQEQAAIAAQpTdGF0aXN0aWNzAwEBAP8BAQEBAQABAQEABAAAAAEBAQEBAAEBAQAEAAAACqAAAbQAAM4AANkAAOQAAO8AAPoAAAUBABABABsBABIABUlucHV0AAAA/wAA/wEBAAIAGAALQmV0YUdlbmVyYWwAAQD/3BQ8AQAAAgAJAAAAAk8BAAACAAkAAAADjAEAAAIACQAAAARMAQAAAgAJAAAABTkBAAACAAkAAAAGTgEAAAIACQAAAAcjAQAAAgAJAAAACCkBAAACAAkAAAAJYAEAAAIALgE4AQEBAwGamZmZmZmpPwAAZmZmZmZm7j8AAAUAAQEBAAEBAQA=</t>
  </si>
  <si>
    <t>Written By Version</t>
  </si>
  <si>
    <t>Serialization Major Version</t>
  </si>
  <si>
    <t>Serialization Minor Version</t>
  </si>
  <si>
    <t>Distribution Record</t>
  </si>
  <si>
    <t>Reserved</t>
  </si>
  <si>
    <t>Record Count</t>
  </si>
  <si>
    <t>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</si>
</sst>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7" fontId="0" fillId="0" borderId="0" xfId="1" applyNumberFormat="1" applyFont="1" applyAlignment="1">
      <alignment horizontal="center"/>
    </xf>
    <xf numFmtId="0" fontId="2" fillId="0" borderId="0" xfId="0" applyFont="1"/>
    <xf numFmtId="2" fontId="0" fillId="0" borderId="0" xfId="0" applyNumberFormat="1"/>
    <xf numFmtId="0" fontId="0" fillId="0" borderId="0" xfId="0" quotePrefix="1"/>
    <xf numFmtId="37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8DA2-B411-4410-9E56-B05619F131F1}">
  <dimension ref="A1:P13"/>
  <sheetViews>
    <sheetView workbookViewId="0"/>
  </sheetViews>
  <sheetFormatPr defaultColWidth="25.7109375" defaultRowHeight="15" x14ac:dyDescent="0.25"/>
  <sheetData>
    <row r="1" spans="1:16" x14ac:dyDescent="0.25">
      <c r="A1" t="s">
        <v>82</v>
      </c>
      <c r="B1" t="s">
        <v>83</v>
      </c>
    </row>
    <row r="2" spans="1:16" x14ac:dyDescent="0.25">
      <c r="A2" t="s">
        <v>84</v>
      </c>
      <c r="B2" t="s">
        <v>85</v>
      </c>
    </row>
    <row r="3" spans="1:16" x14ac:dyDescent="0.25">
      <c r="A3" t="s">
        <v>86</v>
      </c>
      <c r="B3" t="s">
        <v>85</v>
      </c>
    </row>
    <row r="4" spans="1:16" x14ac:dyDescent="0.25">
      <c r="A4" t="s">
        <v>87</v>
      </c>
      <c r="B4" t="s">
        <v>83</v>
      </c>
    </row>
    <row r="9" spans="1:16" x14ac:dyDescent="0.25">
      <c r="A9" t="s">
        <v>88</v>
      </c>
      <c r="B9">
        <v>3</v>
      </c>
    </row>
    <row r="10" spans="1:16" x14ac:dyDescent="0.2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 t="s">
        <v>102</v>
      </c>
      <c r="O10" t="s">
        <v>103</v>
      </c>
    </row>
    <row r="11" spans="1:16" x14ac:dyDescent="0.25">
      <c r="A11" t="s">
        <v>104</v>
      </c>
      <c r="B11" s="7" t="s">
        <v>105</v>
      </c>
      <c r="C11" s="8">
        <f>'Past Demand Data'!$C$4:$C$22</f>
        <v>4540613.1971410885</v>
      </c>
      <c r="D11">
        <v>0</v>
      </c>
      <c r="E11" t="s">
        <v>106</v>
      </c>
      <c r="F11" t="s">
        <v>107</v>
      </c>
      <c r="J11" t="s">
        <v>108</v>
      </c>
      <c r="K11" t="s">
        <v>109</v>
      </c>
      <c r="O11">
        <v>4</v>
      </c>
      <c r="P11" t="b">
        <v>1</v>
      </c>
    </row>
    <row r="12" spans="1:16" x14ac:dyDescent="0.25">
      <c r="A12" t="s">
        <v>110</v>
      </c>
      <c r="B12" s="7" t="s">
        <v>6</v>
      </c>
      <c r="C12" s="6">
        <f>'Past Spot Price Data'!$B$2:$B$76</f>
        <v>17.205338742515487</v>
      </c>
      <c r="D12">
        <v>0</v>
      </c>
      <c r="E12" t="s">
        <v>106</v>
      </c>
      <c r="F12" t="s">
        <v>111</v>
      </c>
      <c r="J12" t="s">
        <v>108</v>
      </c>
      <c r="K12" t="s">
        <v>109</v>
      </c>
      <c r="O12">
        <v>4</v>
      </c>
      <c r="P12" t="b">
        <v>1</v>
      </c>
    </row>
    <row r="13" spans="1:16" x14ac:dyDescent="0.25">
      <c r="A13" t="s">
        <v>112</v>
      </c>
      <c r="B13" s="7" t="s">
        <v>2</v>
      </c>
      <c r="C13" s="8">
        <f>'Past Demand Data'!$B$4:$B$22</f>
        <v>872841.06998625235</v>
      </c>
      <c r="D13">
        <v>0</v>
      </c>
      <c r="E13" t="s">
        <v>106</v>
      </c>
      <c r="F13" t="s">
        <v>113</v>
      </c>
      <c r="J13" t="s">
        <v>108</v>
      </c>
      <c r="K13" t="s">
        <v>109</v>
      </c>
      <c r="O13">
        <v>4</v>
      </c>
      <c r="P1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8D6B-5AFC-462A-9FDC-E121D37ECE49}">
  <dimension ref="A1:E5"/>
  <sheetViews>
    <sheetView workbookViewId="0"/>
  </sheetViews>
  <sheetFormatPr defaultColWidth="25.7109375" defaultRowHeight="15" x14ac:dyDescent="0.25"/>
  <sheetData>
    <row r="1" spans="1:5" x14ac:dyDescent="0.25">
      <c r="A1" t="s">
        <v>114</v>
      </c>
      <c r="B1" t="s">
        <v>83</v>
      </c>
    </row>
    <row r="2" spans="1:5" x14ac:dyDescent="0.25">
      <c r="A2" t="s">
        <v>115</v>
      </c>
      <c r="B2">
        <v>4</v>
      </c>
    </row>
    <row r="3" spans="1:5" x14ac:dyDescent="0.25">
      <c r="A3" t="s">
        <v>116</v>
      </c>
      <c r="B3">
        <v>0</v>
      </c>
    </row>
    <row r="5" spans="1:5" x14ac:dyDescent="0.25">
      <c r="A5" t="s">
        <v>117</v>
      </c>
      <c r="C5" t="s">
        <v>118</v>
      </c>
      <c r="D5" t="s">
        <v>119</v>
      </c>
      <c r="E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9406-BAF2-443D-AC73-6695FE5EB26C}">
  <dimension ref="A1:E22"/>
  <sheetViews>
    <sheetView tabSelected="1" workbookViewId="0"/>
  </sheetViews>
  <sheetFormatPr defaultColWidth="8.85546875" defaultRowHeight="15" x14ac:dyDescent="0.25"/>
  <cols>
    <col min="1" max="1" width="8.85546875" style="2"/>
    <col min="2" max="5" width="13.28515625" style="2" bestFit="1" customWidth="1"/>
  </cols>
  <sheetData>
    <row r="1" spans="1:5" x14ac:dyDescent="0.25">
      <c r="A1" s="1" t="s">
        <v>0</v>
      </c>
    </row>
    <row r="3" spans="1: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s="2">
        <v>1</v>
      </c>
      <c r="B4" s="4">
        <v>2723462.5899483161</v>
      </c>
      <c r="C4" s="4">
        <v>3911949.9191332627</v>
      </c>
      <c r="D4" s="4">
        <v>2258556.6214278066</v>
      </c>
      <c r="E4" s="4">
        <v>1487500.4150297835</v>
      </c>
    </row>
    <row r="5" spans="1:5" x14ac:dyDescent="0.25">
      <c r="A5" s="2">
        <v>2</v>
      </c>
      <c r="B5" s="4">
        <v>2464345.4540099287</v>
      </c>
      <c r="C5" s="4">
        <v>4223390.2233252376</v>
      </c>
      <c r="D5" s="4">
        <v>2661807.4356068522</v>
      </c>
      <c r="E5" s="4">
        <v>1390196.9915050934</v>
      </c>
    </row>
    <row r="6" spans="1:5" x14ac:dyDescent="0.25">
      <c r="A6" s="2">
        <v>3</v>
      </c>
      <c r="B6" s="4">
        <v>2223094.3892877563</v>
      </c>
      <c r="C6" s="4">
        <v>3239261.6968390541</v>
      </c>
      <c r="D6" s="4">
        <v>2269364.433419059</v>
      </c>
      <c r="E6" s="4">
        <v>1611671.7294937789</v>
      </c>
    </row>
    <row r="7" spans="1:5" x14ac:dyDescent="0.25">
      <c r="A7" s="2">
        <v>4</v>
      </c>
      <c r="B7" s="4">
        <v>2738725.0154765388</v>
      </c>
      <c r="C7" s="4">
        <v>3907584.1899997825</v>
      </c>
      <c r="D7" s="4">
        <v>1882534.201154639</v>
      </c>
      <c r="E7" s="4">
        <v>1964036.2591474922</v>
      </c>
    </row>
    <row r="8" spans="1:5" x14ac:dyDescent="0.25">
      <c r="A8" s="2">
        <v>5</v>
      </c>
      <c r="B8" s="4">
        <v>3199564.8872696622</v>
      </c>
      <c r="C8" s="4">
        <v>4241819.7409828855</v>
      </c>
      <c r="D8" s="4">
        <v>1041437.7073400128</v>
      </c>
      <c r="E8" s="4">
        <v>1765437.7067025262</v>
      </c>
    </row>
    <row r="9" spans="1:5" x14ac:dyDescent="0.25">
      <c r="A9" s="2">
        <v>6</v>
      </c>
      <c r="B9" s="4">
        <v>3212174.5981323002</v>
      </c>
      <c r="C9" s="4">
        <v>2408889.5544187222</v>
      </c>
      <c r="D9" s="4">
        <v>2003061.3560457728</v>
      </c>
      <c r="E9" s="4">
        <v>1292325.337455824</v>
      </c>
    </row>
    <row r="10" spans="1:5" x14ac:dyDescent="0.25">
      <c r="A10" s="2">
        <v>7</v>
      </c>
      <c r="B10" s="4">
        <v>2356641.2009365121</v>
      </c>
      <c r="C10" s="4">
        <v>1898798.6205271403</v>
      </c>
      <c r="D10" s="4">
        <v>1967978.2915623959</v>
      </c>
      <c r="E10" s="4">
        <v>1675482.7486158398</v>
      </c>
    </row>
    <row r="11" spans="1:5" x14ac:dyDescent="0.25">
      <c r="A11" s="2">
        <v>8</v>
      </c>
      <c r="B11" s="4">
        <v>1680760.476844437</v>
      </c>
      <c r="C11" s="4">
        <v>4540613.1971410885</v>
      </c>
      <c r="D11" s="4">
        <v>1316540.8853692922</v>
      </c>
      <c r="E11" s="4">
        <v>1926488.9927212892</v>
      </c>
    </row>
    <row r="12" spans="1:5" x14ac:dyDescent="0.25">
      <c r="A12" s="2">
        <v>9</v>
      </c>
      <c r="B12" s="4">
        <v>994350.29324411624</v>
      </c>
      <c r="C12" s="4">
        <v>3757408.2662286735</v>
      </c>
      <c r="D12" s="4">
        <v>1373626.4251869619</v>
      </c>
      <c r="E12" s="4">
        <v>1382849.0866155173</v>
      </c>
    </row>
    <row r="13" spans="1:5" x14ac:dyDescent="0.25">
      <c r="A13" s="2">
        <v>10</v>
      </c>
      <c r="B13" s="4">
        <v>872841.06998625235</v>
      </c>
      <c r="C13" s="4">
        <v>3333856.1829540925</v>
      </c>
      <c r="D13" s="4">
        <v>2400882.5788165871</v>
      </c>
      <c r="E13" s="4">
        <v>721844.41591434251</v>
      </c>
    </row>
    <row r="14" spans="1:5" x14ac:dyDescent="0.25">
      <c r="A14" s="2">
        <v>11</v>
      </c>
      <c r="B14" s="4">
        <v>2146562.6440873812</v>
      </c>
      <c r="C14" s="4">
        <v>2034585.5222453168</v>
      </c>
      <c r="D14" s="4">
        <v>2024890.4174703753</v>
      </c>
      <c r="E14" s="4">
        <v>1197402.9233640509</v>
      </c>
    </row>
    <row r="15" spans="1:5" x14ac:dyDescent="0.25">
      <c r="A15" s="2">
        <v>12</v>
      </c>
      <c r="B15" s="4">
        <v>2647838.230725083</v>
      </c>
      <c r="C15" s="4">
        <v>5091077.9030683283</v>
      </c>
      <c r="D15" s="4">
        <v>2039626.2021619864</v>
      </c>
      <c r="E15" s="4">
        <v>1638322.9814283689</v>
      </c>
    </row>
    <row r="16" spans="1:5" x14ac:dyDescent="0.25">
      <c r="A16" s="2">
        <v>13</v>
      </c>
      <c r="B16" s="4">
        <v>1511061.8475102028</v>
      </c>
      <c r="C16" s="4">
        <v>3548140.1111636567</v>
      </c>
      <c r="D16" s="4">
        <v>1784335.6019757679</v>
      </c>
      <c r="E16" s="4">
        <v>1401581.6484347438</v>
      </c>
    </row>
    <row r="17" spans="1:5" x14ac:dyDescent="0.25">
      <c r="A17" s="2">
        <v>14</v>
      </c>
      <c r="B17" s="4">
        <v>1895863.5481773166</v>
      </c>
      <c r="C17" s="4">
        <v>4677349.5046363426</v>
      </c>
      <c r="D17" s="4">
        <v>1955099.9355537521</v>
      </c>
      <c r="E17" s="4">
        <v>1432601.9464369277</v>
      </c>
    </row>
    <row r="18" spans="1:5" x14ac:dyDescent="0.25">
      <c r="A18" s="2">
        <v>15</v>
      </c>
      <c r="B18" s="4">
        <v>2418813.5295878737</v>
      </c>
      <c r="C18" s="4">
        <v>3998852.433793724</v>
      </c>
      <c r="D18" s="4">
        <v>2453801.7097743824</v>
      </c>
      <c r="E18" s="4">
        <v>1542571.2443233237</v>
      </c>
    </row>
    <row r="19" spans="1:5" x14ac:dyDescent="0.25">
      <c r="A19" s="2">
        <v>16</v>
      </c>
      <c r="B19" s="4">
        <v>1011569.0577407938</v>
      </c>
      <c r="C19" s="4">
        <v>4429538.0000150464</v>
      </c>
      <c r="D19" s="4">
        <v>2466539.0119723207</v>
      </c>
      <c r="E19" s="4">
        <v>1063391.3631165298</v>
      </c>
    </row>
    <row r="20" spans="1:5" x14ac:dyDescent="0.25">
      <c r="A20" s="2">
        <v>17</v>
      </c>
      <c r="B20" s="4">
        <v>1126667.2667510952</v>
      </c>
      <c r="C20" s="4">
        <v>3268046.2842708211</v>
      </c>
      <c r="D20" s="4">
        <v>2365305.1132455515</v>
      </c>
      <c r="E20" s="4">
        <v>1162356.1910066362</v>
      </c>
    </row>
    <row r="21" spans="1:5" x14ac:dyDescent="0.25">
      <c r="A21" s="2">
        <v>18</v>
      </c>
      <c r="B21" s="4">
        <v>2551807.5105172656</v>
      </c>
      <c r="C21" s="4">
        <v>3209705.8187216772</v>
      </c>
      <c r="D21" s="4">
        <v>1240558.7291935601</v>
      </c>
      <c r="E21" s="4">
        <v>1317488.1120946566</v>
      </c>
    </row>
    <row r="22" spans="1:5" x14ac:dyDescent="0.25">
      <c r="A22" s="2">
        <v>19</v>
      </c>
      <c r="B22" s="4">
        <v>3246209.8759667394</v>
      </c>
      <c r="C22" s="4">
        <v>3820014.2983035664</v>
      </c>
      <c r="D22" s="4">
        <v>2860287.4288635412</v>
      </c>
      <c r="E22" s="4"/>
    </row>
  </sheetData>
  <pageMargins left="0.7" right="0.7" top="0.75" bottom="0.75" header="0.3" footer="0.3"/>
  <pageSetup paperSize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42B2-83E1-4DB4-8A07-DE35211F005A}">
  <dimension ref="A1:B76"/>
  <sheetViews>
    <sheetView workbookViewId="0"/>
  </sheetViews>
  <sheetFormatPr defaultColWidth="8.85546875" defaultRowHeight="15" x14ac:dyDescent="0.25"/>
  <cols>
    <col min="1" max="1" width="10.28515625" bestFit="1" customWidth="1"/>
    <col min="2" max="2" width="10.42578125" customWidth="1"/>
  </cols>
  <sheetData>
    <row r="1" spans="1:2" x14ac:dyDescent="0.25">
      <c r="B1" s="5" t="s">
        <v>6</v>
      </c>
    </row>
    <row r="2" spans="1:2" x14ac:dyDescent="0.25">
      <c r="A2" t="s">
        <v>7</v>
      </c>
      <c r="B2" s="6">
        <v>21.143916667387529</v>
      </c>
    </row>
    <row r="3" spans="1:2" x14ac:dyDescent="0.25">
      <c r="A3" t="s">
        <v>8</v>
      </c>
      <c r="B3" s="6">
        <v>21.704605503486043</v>
      </c>
    </row>
    <row r="4" spans="1:2" x14ac:dyDescent="0.25">
      <c r="A4" t="s">
        <v>9</v>
      </c>
      <c r="B4" s="6">
        <v>17.728635805663927</v>
      </c>
    </row>
    <row r="5" spans="1:2" x14ac:dyDescent="0.25">
      <c r="A5" t="s">
        <v>10</v>
      </c>
      <c r="B5" s="6">
        <v>12.749216948337427</v>
      </c>
    </row>
    <row r="6" spans="1:2" x14ac:dyDescent="0.25">
      <c r="A6" t="s">
        <v>11</v>
      </c>
      <c r="B6" s="6">
        <v>26.973457082331215</v>
      </c>
    </row>
    <row r="7" spans="1:2" x14ac:dyDescent="0.25">
      <c r="A7" t="s">
        <v>12</v>
      </c>
      <c r="B7" s="6">
        <v>16.722138222605601</v>
      </c>
    </row>
    <row r="8" spans="1:2" x14ac:dyDescent="0.25">
      <c r="A8" t="s">
        <v>13</v>
      </c>
      <c r="B8" s="6">
        <v>20.215552378144316</v>
      </c>
    </row>
    <row r="9" spans="1:2" x14ac:dyDescent="0.25">
      <c r="A9" t="s">
        <v>14</v>
      </c>
      <c r="B9" s="6">
        <v>13.826120729709702</v>
      </c>
    </row>
    <row r="10" spans="1:2" x14ac:dyDescent="0.25">
      <c r="A10" t="s">
        <v>15</v>
      </c>
      <c r="B10" s="6">
        <v>17.222359762762569</v>
      </c>
    </row>
    <row r="11" spans="1:2" x14ac:dyDescent="0.25">
      <c r="A11" t="s">
        <v>16</v>
      </c>
      <c r="B11" s="6">
        <v>19.869864173710067</v>
      </c>
    </row>
    <row r="12" spans="1:2" x14ac:dyDescent="0.25">
      <c r="A12" t="s">
        <v>17</v>
      </c>
      <c r="B12" s="6">
        <v>17.205338742515487</v>
      </c>
    </row>
    <row r="13" spans="1:2" x14ac:dyDescent="0.25">
      <c r="A13" t="s">
        <v>18</v>
      </c>
      <c r="B13" s="6">
        <v>26.123703598671071</v>
      </c>
    </row>
    <row r="14" spans="1:2" x14ac:dyDescent="0.25">
      <c r="A14" t="s">
        <v>19</v>
      </c>
      <c r="B14" s="6">
        <v>15.423616806761894</v>
      </c>
    </row>
    <row r="15" spans="1:2" x14ac:dyDescent="0.25">
      <c r="A15" t="s">
        <v>20</v>
      </c>
      <c r="B15" s="6">
        <v>19.674200177307338</v>
      </c>
    </row>
    <row r="16" spans="1:2" x14ac:dyDescent="0.25">
      <c r="A16" t="s">
        <v>21</v>
      </c>
      <c r="B16" s="6">
        <v>19.155937579038621</v>
      </c>
    </row>
    <row r="17" spans="1:2" x14ac:dyDescent="0.25">
      <c r="A17" t="s">
        <v>22</v>
      </c>
      <c r="B17" s="6">
        <v>12.780883474791324</v>
      </c>
    </row>
    <row r="18" spans="1:2" x14ac:dyDescent="0.25">
      <c r="A18" t="s">
        <v>23</v>
      </c>
      <c r="B18" s="6">
        <v>16.536881100973901</v>
      </c>
    </row>
    <row r="19" spans="1:2" x14ac:dyDescent="0.25">
      <c r="A19" t="s">
        <v>24</v>
      </c>
      <c r="B19" s="6">
        <v>21.681650387789929</v>
      </c>
    </row>
    <row r="20" spans="1:2" x14ac:dyDescent="0.25">
      <c r="A20" t="s">
        <v>25</v>
      </c>
      <c r="B20" s="6">
        <v>23.745437095847613</v>
      </c>
    </row>
    <row r="21" spans="1:2" x14ac:dyDescent="0.25">
      <c r="A21" t="s">
        <v>26</v>
      </c>
      <c r="B21" s="6">
        <v>17.591152761532641</v>
      </c>
    </row>
    <row r="22" spans="1:2" x14ac:dyDescent="0.25">
      <c r="A22" t="s">
        <v>27</v>
      </c>
      <c r="B22" s="6">
        <v>18.998000919327822</v>
      </c>
    </row>
    <row r="23" spans="1:2" x14ac:dyDescent="0.25">
      <c r="A23" t="s">
        <v>28</v>
      </c>
      <c r="B23" s="6">
        <v>17.390848070375558</v>
      </c>
    </row>
    <row r="24" spans="1:2" x14ac:dyDescent="0.25">
      <c r="A24" t="s">
        <v>29</v>
      </c>
      <c r="B24" s="6">
        <v>17.358168277436988</v>
      </c>
    </row>
    <row r="25" spans="1:2" x14ac:dyDescent="0.25">
      <c r="A25" t="s">
        <v>30</v>
      </c>
      <c r="B25" s="6">
        <v>23.627065477446735</v>
      </c>
    </row>
    <row r="26" spans="1:2" x14ac:dyDescent="0.25">
      <c r="A26" t="s">
        <v>31</v>
      </c>
      <c r="B26" s="6">
        <v>20.045228356751331</v>
      </c>
    </row>
    <row r="27" spans="1:2" x14ac:dyDescent="0.25">
      <c r="A27" t="s">
        <v>32</v>
      </c>
      <c r="B27" s="6">
        <v>16.80176414468534</v>
      </c>
    </row>
    <row r="28" spans="1:2" x14ac:dyDescent="0.25">
      <c r="A28" t="s">
        <v>33</v>
      </c>
      <c r="B28" s="6">
        <v>25.509425159271203</v>
      </c>
    </row>
    <row r="29" spans="1:2" x14ac:dyDescent="0.25">
      <c r="A29" t="s">
        <v>34</v>
      </c>
      <c r="B29" s="6">
        <v>17.443930329569049</v>
      </c>
    </row>
    <row r="30" spans="1:2" x14ac:dyDescent="0.25">
      <c r="A30" t="s">
        <v>35</v>
      </c>
      <c r="B30" s="6">
        <v>25.843869079975217</v>
      </c>
    </row>
    <row r="31" spans="1:2" x14ac:dyDescent="0.25">
      <c r="A31" t="s">
        <v>36</v>
      </c>
      <c r="B31" s="6">
        <v>18.606016997414855</v>
      </c>
    </row>
    <row r="32" spans="1:2" x14ac:dyDescent="0.25">
      <c r="A32" t="s">
        <v>37</v>
      </c>
      <c r="B32" s="6">
        <v>12.713740998282232</v>
      </c>
    </row>
    <row r="33" spans="1:2" x14ac:dyDescent="0.25">
      <c r="A33" t="s">
        <v>38</v>
      </c>
      <c r="B33" s="6">
        <v>16.176852260734329</v>
      </c>
    </row>
    <row r="34" spans="1:2" x14ac:dyDescent="0.25">
      <c r="A34" t="s">
        <v>39</v>
      </c>
      <c r="B34" s="6">
        <v>13.459997443434515</v>
      </c>
    </row>
    <row r="35" spans="1:2" x14ac:dyDescent="0.25">
      <c r="A35" t="s">
        <v>40</v>
      </c>
      <c r="B35" s="6">
        <v>21.760044328134967</v>
      </c>
    </row>
    <row r="36" spans="1:2" x14ac:dyDescent="0.25">
      <c r="A36" t="s">
        <v>41</v>
      </c>
      <c r="B36" s="6">
        <v>26.679603633500783</v>
      </c>
    </row>
    <row r="37" spans="1:2" x14ac:dyDescent="0.25">
      <c r="A37" t="s">
        <v>42</v>
      </c>
      <c r="B37" s="6">
        <v>22.277085742412481</v>
      </c>
    </row>
    <row r="38" spans="1:2" x14ac:dyDescent="0.25">
      <c r="A38" t="s">
        <v>43</v>
      </c>
      <c r="B38" s="6">
        <v>17.569559174656106</v>
      </c>
    </row>
    <row r="39" spans="1:2" x14ac:dyDescent="0.25">
      <c r="A39" t="s">
        <v>44</v>
      </c>
      <c r="B39" s="6">
        <v>13.505112744560599</v>
      </c>
    </row>
    <row r="40" spans="1:2" x14ac:dyDescent="0.25">
      <c r="A40" t="s">
        <v>45</v>
      </c>
      <c r="B40" s="6">
        <v>21.121063264096868</v>
      </c>
    </row>
    <row r="41" spans="1:2" x14ac:dyDescent="0.25">
      <c r="A41" t="s">
        <v>46</v>
      </c>
      <c r="B41" s="6">
        <v>26.89044277590445</v>
      </c>
    </row>
    <row r="42" spans="1:2" x14ac:dyDescent="0.25">
      <c r="A42" t="s">
        <v>47</v>
      </c>
      <c r="B42" s="6">
        <v>26.699707160528348</v>
      </c>
    </row>
    <row r="43" spans="1:2" x14ac:dyDescent="0.25">
      <c r="A43" t="s">
        <v>48</v>
      </c>
      <c r="B43" s="6">
        <v>23.929446961621018</v>
      </c>
    </row>
    <row r="44" spans="1:2" x14ac:dyDescent="0.25">
      <c r="A44" t="s">
        <v>49</v>
      </c>
      <c r="B44" s="6">
        <v>24.908200902082406</v>
      </c>
    </row>
    <row r="45" spans="1:2" x14ac:dyDescent="0.25">
      <c r="A45" t="s">
        <v>50</v>
      </c>
      <c r="B45" s="6">
        <v>14.973957648473316</v>
      </c>
    </row>
    <row r="46" spans="1:2" x14ac:dyDescent="0.25">
      <c r="A46" t="s">
        <v>51</v>
      </c>
      <c r="B46" s="6">
        <v>24.694213708097539</v>
      </c>
    </row>
    <row r="47" spans="1:2" x14ac:dyDescent="0.25">
      <c r="A47" t="s">
        <v>52</v>
      </c>
      <c r="B47" s="6">
        <v>25.117504861457967</v>
      </c>
    </row>
    <row r="48" spans="1:2" x14ac:dyDescent="0.25">
      <c r="A48" t="s">
        <v>53</v>
      </c>
      <c r="B48" s="6">
        <v>24.50314520956055</v>
      </c>
    </row>
    <row r="49" spans="1:2" x14ac:dyDescent="0.25">
      <c r="A49" t="s">
        <v>54</v>
      </c>
      <c r="B49" s="6">
        <v>17.308297386518046</v>
      </c>
    </row>
    <row r="50" spans="1:2" x14ac:dyDescent="0.25">
      <c r="A50" t="s">
        <v>55</v>
      </c>
      <c r="B50" s="6">
        <v>15.4245926414339</v>
      </c>
    </row>
    <row r="51" spans="1:2" x14ac:dyDescent="0.25">
      <c r="A51" t="s">
        <v>56</v>
      </c>
      <c r="B51" s="6">
        <v>17.381762458257185</v>
      </c>
    </row>
    <row r="52" spans="1:2" x14ac:dyDescent="0.25">
      <c r="A52" t="s">
        <v>57</v>
      </c>
      <c r="B52" s="6">
        <v>18.423849440296209</v>
      </c>
    </row>
    <row r="53" spans="1:2" x14ac:dyDescent="0.25">
      <c r="A53" t="s">
        <v>58</v>
      </c>
      <c r="B53" s="6">
        <v>21.187137477775323</v>
      </c>
    </row>
    <row r="54" spans="1:2" x14ac:dyDescent="0.25">
      <c r="A54" t="s">
        <v>59</v>
      </c>
      <c r="B54" s="6">
        <v>15.894076183718118</v>
      </c>
    </row>
    <row r="55" spans="1:2" x14ac:dyDescent="0.25">
      <c r="A55" t="s">
        <v>60</v>
      </c>
      <c r="B55" s="6">
        <v>19.520707711750607</v>
      </c>
    </row>
    <row r="56" spans="1:2" x14ac:dyDescent="0.25">
      <c r="A56" t="s">
        <v>61</v>
      </c>
      <c r="B56" s="6">
        <v>12.541415891490411</v>
      </c>
    </row>
    <row r="57" spans="1:2" x14ac:dyDescent="0.25">
      <c r="A57" t="s">
        <v>62</v>
      </c>
      <c r="B57" s="6">
        <v>14.051251000532837</v>
      </c>
    </row>
    <row r="58" spans="1:2" x14ac:dyDescent="0.25">
      <c r="A58" t="s">
        <v>63</v>
      </c>
      <c r="B58" s="6">
        <v>23.823301555346973</v>
      </c>
    </row>
    <row r="59" spans="1:2" x14ac:dyDescent="0.25">
      <c r="A59" t="s">
        <v>64</v>
      </c>
      <c r="B59" s="6">
        <v>18.102557241428304</v>
      </c>
    </row>
    <row r="60" spans="1:2" x14ac:dyDescent="0.25">
      <c r="A60" t="s">
        <v>65</v>
      </c>
      <c r="B60" s="6">
        <v>25.021178696814282</v>
      </c>
    </row>
    <row r="61" spans="1:2" x14ac:dyDescent="0.25">
      <c r="A61" t="s">
        <v>66</v>
      </c>
      <c r="B61" s="6">
        <v>16.602293286408553</v>
      </c>
    </row>
    <row r="62" spans="1:2" x14ac:dyDescent="0.25">
      <c r="A62" t="s">
        <v>67</v>
      </c>
      <c r="B62" s="6">
        <v>24.91893377179407</v>
      </c>
    </row>
    <row r="63" spans="1:2" x14ac:dyDescent="0.25">
      <c r="A63" t="s">
        <v>68</v>
      </c>
      <c r="B63" s="6">
        <v>16.46979956657869</v>
      </c>
    </row>
    <row r="64" spans="1:2" x14ac:dyDescent="0.25">
      <c r="A64" t="s">
        <v>69</v>
      </c>
      <c r="B64" s="6">
        <v>25.218292803455213</v>
      </c>
    </row>
    <row r="65" spans="1:2" x14ac:dyDescent="0.25">
      <c r="A65" t="s">
        <v>70</v>
      </c>
      <c r="B65" s="6">
        <v>25.96921363437562</v>
      </c>
    </row>
    <row r="66" spans="1:2" x14ac:dyDescent="0.25">
      <c r="A66" t="s">
        <v>71</v>
      </c>
      <c r="B66" s="6">
        <v>23.309227485329025</v>
      </c>
    </row>
    <row r="67" spans="1:2" x14ac:dyDescent="0.25">
      <c r="A67" t="s">
        <v>72</v>
      </c>
      <c r="B67" s="6">
        <v>21.989799087581751</v>
      </c>
    </row>
    <row r="68" spans="1:2" x14ac:dyDescent="0.25">
      <c r="A68" t="s">
        <v>73</v>
      </c>
      <c r="B68" s="6">
        <v>23.95148880718164</v>
      </c>
    </row>
    <row r="69" spans="1:2" x14ac:dyDescent="0.25">
      <c r="A69" t="s">
        <v>74</v>
      </c>
      <c r="B69" s="6">
        <v>18.27281995257233</v>
      </c>
    </row>
    <row r="70" spans="1:2" x14ac:dyDescent="0.25">
      <c r="A70" t="s">
        <v>75</v>
      </c>
      <c r="B70" s="6">
        <v>14.359922543697536</v>
      </c>
    </row>
    <row r="71" spans="1:2" x14ac:dyDescent="0.25">
      <c r="A71" t="s">
        <v>76</v>
      </c>
      <c r="B71" s="6">
        <v>14.693569842082354</v>
      </c>
    </row>
    <row r="72" spans="1:2" x14ac:dyDescent="0.25">
      <c r="A72" t="s">
        <v>77</v>
      </c>
      <c r="B72" s="6">
        <v>18.613075789508635</v>
      </c>
    </row>
    <row r="73" spans="1:2" x14ac:dyDescent="0.25">
      <c r="A73" t="s">
        <v>78</v>
      </c>
      <c r="B73" s="6">
        <v>14.164815972809848</v>
      </c>
    </row>
    <row r="74" spans="1:2" x14ac:dyDescent="0.25">
      <c r="A74" t="s">
        <v>79</v>
      </c>
      <c r="B74" s="6">
        <v>17.491520434252553</v>
      </c>
    </row>
    <row r="75" spans="1:2" x14ac:dyDescent="0.25">
      <c r="A75" t="s">
        <v>80</v>
      </c>
      <c r="B75" s="6">
        <v>21.27334958341649</v>
      </c>
    </row>
    <row r="76" spans="1:2" x14ac:dyDescent="0.25">
      <c r="A76" t="s">
        <v>81</v>
      </c>
      <c r="B76" s="6">
        <v>14.195836493167901</v>
      </c>
    </row>
  </sheetData>
  <conditionalFormatting sqref="B77">
    <cfRule type="expression" dxfId="0" priority="1" stopIfTrue="1">
      <formula>RiskIsInput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_@RISKFitInformation</vt:lpstr>
      <vt:lpstr>RiskSerializationData8</vt:lpstr>
      <vt:lpstr>Past Demand Data</vt:lpstr>
      <vt:lpstr>Past Spot Price Data</vt:lpstr>
      <vt:lpstr>RiskSerializationData8!DistributionRecords</vt:lpstr>
      <vt:lpstr>RiskSerializationData8!SerializationHeader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Alp</dc:creator>
  <cp:lastModifiedBy>Osman Alp</cp:lastModifiedBy>
  <dcterms:created xsi:type="dcterms:W3CDTF">2023-03-21T19:07:12Z</dcterms:created>
  <dcterms:modified xsi:type="dcterms:W3CDTF">2023-03-22T04:36:40Z</dcterms:modified>
</cp:coreProperties>
</file>